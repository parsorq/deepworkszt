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Loan" sheetId="2" state="visible" r:id="rId2"/>
    <sheet name="Cash Flow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5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Purchase price (local currency)</t>
        </is>
      </c>
      <c r="B2" s="2" t="n">
        <v>3500000</v>
      </c>
      <c r="C2" t="inlineStr"/>
    </row>
    <row r="3">
      <c r="A3" t="inlineStr">
        <is>
          <t>Down payment %</t>
        </is>
      </c>
      <c r="B3" s="2" t="n">
        <v>0.3</v>
      </c>
      <c r="C3" t="inlineStr"/>
    </row>
    <row r="4">
      <c r="A4" t="inlineStr">
        <is>
          <t>Closing costs % (of purchase)</t>
        </is>
      </c>
      <c r="B4" s="2" t="n">
        <v>0.06</v>
      </c>
      <c r="C4" t="inlineStr"/>
    </row>
    <row r="5">
      <c r="A5" t="inlineStr">
        <is>
          <t>Loan interest rate % (annual)</t>
        </is>
      </c>
      <c r="B5" s="2" t="n">
        <v>10</v>
      </c>
      <c r="C5" t="inlineStr"/>
    </row>
    <row r="6">
      <c r="A6" t="inlineStr">
        <is>
          <t>Loan term (years)</t>
        </is>
      </c>
      <c r="B6" s="2" t="n">
        <v>20</v>
      </c>
      <c r="C6" t="inlineStr"/>
    </row>
    <row r="7">
      <c r="A7" t="inlineStr">
        <is>
          <t>Monthly rent (year 1)</t>
        </is>
      </c>
      <c r="B7" s="2" t="n">
        <v>25000</v>
      </c>
      <c r="C7" t="inlineStr"/>
    </row>
    <row r="8">
      <c r="A8" t="inlineStr">
        <is>
          <t>Rent growth % (annual)</t>
        </is>
      </c>
      <c r="B8" s="2" t="n">
        <v>0.03</v>
      </c>
      <c r="C8" t="inlineStr"/>
    </row>
    <row r="9">
      <c r="A9" t="inlineStr">
        <is>
          <t>Vacancy %</t>
        </is>
      </c>
      <c r="B9" s="2" t="n">
        <v>0.05</v>
      </c>
      <c r="C9" t="inlineStr"/>
    </row>
    <row r="10">
      <c r="A10" t="inlineStr">
        <is>
          <t>Operating expenses % (of gross rent)</t>
        </is>
      </c>
      <c r="B10" s="2" t="n">
        <v>0.25</v>
      </c>
      <c r="C10" t="inlineStr"/>
    </row>
    <row r="11">
      <c r="A11" t="inlineStr">
        <is>
          <t>Holding period (years)</t>
        </is>
      </c>
      <c r="B11" s="2" t="n">
        <v>10</v>
      </c>
      <c r="C11" t="inlineStr"/>
    </row>
    <row r="12">
      <c r="A12" t="inlineStr">
        <is>
          <t>Exit: sale price growth % (from purchase, per year)</t>
        </is>
      </c>
      <c r="B12" s="2" t="n">
        <v>0.02</v>
      </c>
      <c r="C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Period</t>
        </is>
      </c>
      <c r="B1" s="1" t="inlineStr">
        <is>
          <t>Payment</t>
        </is>
      </c>
      <c r="C1" s="1" t="inlineStr">
        <is>
          <t>Principal</t>
        </is>
      </c>
      <c r="D1" s="1" t="inlineStr">
        <is>
          <t>Interest</t>
        </is>
      </c>
      <c r="E1" s="1" t="inlineStr">
        <is>
          <t>Balance</t>
        </is>
      </c>
    </row>
    <row r="2">
      <c r="A2" t="n">
        <v>1</v>
      </c>
      <c r="B2">
        <f>-PMT(Inputs!$B$5/100/12,Inputs!$B$6*12,(Inputs!$B$2*(1-Inputs!$B$3)))</f>
        <v/>
      </c>
      <c r="C2">
        <f>PPMT(Inputs!$B$5/100/12,A2,Inputs!$B$6*12,(Inputs!$B$2*(1-Inputs!$B$3)))</f>
        <v/>
      </c>
      <c r="D2">
        <f>IPMT(Inputs!$B$5/100/12,A2,Inputs!$B$6*12,(Inputs!$B$2*(1-Inputs!$B$3)))</f>
        <v/>
      </c>
      <c r="E2">
        <f>(Inputs!$B$2*(1-Inputs!$B$3))+C2</f>
        <v/>
      </c>
    </row>
    <row r="3">
      <c r="A3" t="n">
        <v>2</v>
      </c>
      <c r="B3">
        <f>-PMT(Inputs!$B$5/100/12,Inputs!$B$6*12,(Inputs!$B$2*(1-Inputs!$B$3)))</f>
        <v/>
      </c>
      <c r="C3">
        <f>PPMT(Inputs!$B$5/100/12,A3,Inputs!$B$6*12,(Inputs!$B$2*(1-Inputs!$B$3)))</f>
        <v/>
      </c>
      <c r="D3">
        <f>IPMT(Inputs!$B$5/100/12,A3,Inputs!$B$6*12,(Inputs!$B$2*(1-Inputs!$B$3)))</f>
        <v/>
      </c>
      <c r="E3">
        <f>E2+C3</f>
        <v/>
      </c>
    </row>
    <row r="4">
      <c r="A4" t="n">
        <v>3</v>
      </c>
      <c r="B4">
        <f>-PMT(Inputs!$B$5/100/12,Inputs!$B$6*12,(Inputs!$B$2*(1-Inputs!$B$3)))</f>
        <v/>
      </c>
      <c r="C4">
        <f>PPMT(Inputs!$B$5/100/12,A4,Inputs!$B$6*12,(Inputs!$B$2*(1-Inputs!$B$3)))</f>
        <v/>
      </c>
      <c r="D4">
        <f>IPMT(Inputs!$B$5/100/12,A4,Inputs!$B$6*12,(Inputs!$B$2*(1-Inputs!$B$3)))</f>
        <v/>
      </c>
      <c r="E4">
        <f>E3+C4</f>
        <v/>
      </c>
    </row>
    <row r="5">
      <c r="A5" t="n">
        <v>4</v>
      </c>
      <c r="B5">
        <f>-PMT(Inputs!$B$5/100/12,Inputs!$B$6*12,(Inputs!$B$2*(1-Inputs!$B$3)))</f>
        <v/>
      </c>
      <c r="C5">
        <f>PPMT(Inputs!$B$5/100/12,A5,Inputs!$B$6*12,(Inputs!$B$2*(1-Inputs!$B$3)))</f>
        <v/>
      </c>
      <c r="D5">
        <f>IPMT(Inputs!$B$5/100/12,A5,Inputs!$B$6*12,(Inputs!$B$2*(1-Inputs!$B$3)))</f>
        <v/>
      </c>
      <c r="E5">
        <f>E4+C5</f>
        <v/>
      </c>
    </row>
    <row r="6">
      <c r="A6" t="n">
        <v>5</v>
      </c>
      <c r="B6">
        <f>-PMT(Inputs!$B$5/100/12,Inputs!$B$6*12,(Inputs!$B$2*(1-Inputs!$B$3)))</f>
        <v/>
      </c>
      <c r="C6">
        <f>PPMT(Inputs!$B$5/100/12,A6,Inputs!$B$6*12,(Inputs!$B$2*(1-Inputs!$B$3)))</f>
        <v/>
      </c>
      <c r="D6">
        <f>IPMT(Inputs!$B$5/100/12,A6,Inputs!$B$6*12,(Inputs!$B$2*(1-Inputs!$B$3)))</f>
        <v/>
      </c>
      <c r="E6">
        <f>E5+C6</f>
        <v/>
      </c>
    </row>
    <row r="7">
      <c r="A7" t="n">
        <v>6</v>
      </c>
      <c r="B7">
        <f>-PMT(Inputs!$B$5/100/12,Inputs!$B$6*12,(Inputs!$B$2*(1-Inputs!$B$3)))</f>
        <v/>
      </c>
      <c r="C7">
        <f>PPMT(Inputs!$B$5/100/12,A7,Inputs!$B$6*12,(Inputs!$B$2*(1-Inputs!$B$3)))</f>
        <v/>
      </c>
      <c r="D7">
        <f>IPMT(Inputs!$B$5/100/12,A7,Inputs!$B$6*12,(Inputs!$B$2*(1-Inputs!$B$3)))</f>
        <v/>
      </c>
      <c r="E7">
        <f>E6+C7</f>
        <v/>
      </c>
    </row>
    <row r="8">
      <c r="A8" t="n">
        <v>7</v>
      </c>
      <c r="B8">
        <f>-PMT(Inputs!$B$5/100/12,Inputs!$B$6*12,(Inputs!$B$2*(1-Inputs!$B$3)))</f>
        <v/>
      </c>
      <c r="C8">
        <f>PPMT(Inputs!$B$5/100/12,A8,Inputs!$B$6*12,(Inputs!$B$2*(1-Inputs!$B$3)))</f>
        <v/>
      </c>
      <c r="D8">
        <f>IPMT(Inputs!$B$5/100/12,A8,Inputs!$B$6*12,(Inputs!$B$2*(1-Inputs!$B$3)))</f>
        <v/>
      </c>
      <c r="E8">
        <f>E7+C8</f>
        <v/>
      </c>
    </row>
    <row r="9">
      <c r="A9" t="n">
        <v>8</v>
      </c>
      <c r="B9">
        <f>-PMT(Inputs!$B$5/100/12,Inputs!$B$6*12,(Inputs!$B$2*(1-Inputs!$B$3)))</f>
        <v/>
      </c>
      <c r="C9">
        <f>PPMT(Inputs!$B$5/100/12,A9,Inputs!$B$6*12,(Inputs!$B$2*(1-Inputs!$B$3)))</f>
        <v/>
      </c>
      <c r="D9">
        <f>IPMT(Inputs!$B$5/100/12,A9,Inputs!$B$6*12,(Inputs!$B$2*(1-Inputs!$B$3)))</f>
        <v/>
      </c>
      <c r="E9">
        <f>E8+C9</f>
        <v/>
      </c>
    </row>
    <row r="10">
      <c r="A10" t="n">
        <v>9</v>
      </c>
      <c r="B10">
        <f>-PMT(Inputs!$B$5/100/12,Inputs!$B$6*12,(Inputs!$B$2*(1-Inputs!$B$3)))</f>
        <v/>
      </c>
      <c r="C10">
        <f>PPMT(Inputs!$B$5/100/12,A10,Inputs!$B$6*12,(Inputs!$B$2*(1-Inputs!$B$3)))</f>
        <v/>
      </c>
      <c r="D10">
        <f>IPMT(Inputs!$B$5/100/12,A10,Inputs!$B$6*12,(Inputs!$B$2*(1-Inputs!$B$3)))</f>
        <v/>
      </c>
      <c r="E10">
        <f>E9+C10</f>
        <v/>
      </c>
    </row>
    <row r="11">
      <c r="A11" t="n">
        <v>10</v>
      </c>
      <c r="B11">
        <f>-PMT(Inputs!$B$5/100/12,Inputs!$B$6*12,(Inputs!$B$2*(1-Inputs!$B$3)))</f>
        <v/>
      </c>
      <c r="C11">
        <f>PPMT(Inputs!$B$5/100/12,A11,Inputs!$B$6*12,(Inputs!$B$2*(1-Inputs!$B$3)))</f>
        <v/>
      </c>
      <c r="D11">
        <f>IPMT(Inputs!$B$5/100/12,A11,Inputs!$B$6*12,(Inputs!$B$2*(1-Inputs!$B$3)))</f>
        <v/>
      </c>
      <c r="E11">
        <f>E10+C11</f>
        <v/>
      </c>
    </row>
    <row r="12">
      <c r="A12" t="n">
        <v>11</v>
      </c>
      <c r="B12">
        <f>-PMT(Inputs!$B$5/100/12,Inputs!$B$6*12,(Inputs!$B$2*(1-Inputs!$B$3)))</f>
        <v/>
      </c>
      <c r="C12">
        <f>PPMT(Inputs!$B$5/100/12,A12,Inputs!$B$6*12,(Inputs!$B$2*(1-Inputs!$B$3)))</f>
        <v/>
      </c>
      <c r="D12">
        <f>IPMT(Inputs!$B$5/100/12,A12,Inputs!$B$6*12,(Inputs!$B$2*(1-Inputs!$B$3)))</f>
        <v/>
      </c>
      <c r="E12">
        <f>E11+C12</f>
        <v/>
      </c>
    </row>
    <row r="13">
      <c r="A13" t="n">
        <v>12</v>
      </c>
      <c r="B13">
        <f>-PMT(Inputs!$B$5/100/12,Inputs!$B$6*12,(Inputs!$B$2*(1-Inputs!$B$3)))</f>
        <v/>
      </c>
      <c r="C13">
        <f>PPMT(Inputs!$B$5/100/12,A13,Inputs!$B$6*12,(Inputs!$B$2*(1-Inputs!$B$3)))</f>
        <v/>
      </c>
      <c r="D13">
        <f>IPMT(Inputs!$B$5/100/12,A13,Inputs!$B$6*12,(Inputs!$B$2*(1-Inputs!$B$3)))</f>
        <v/>
      </c>
      <c r="E13">
        <f>E12+C13</f>
        <v/>
      </c>
    </row>
    <row r="14">
      <c r="A14" t="n">
        <v>13</v>
      </c>
      <c r="B14">
        <f>-PMT(Inputs!$B$5/100/12,Inputs!$B$6*12,(Inputs!$B$2*(1-Inputs!$B$3)))</f>
        <v/>
      </c>
      <c r="C14">
        <f>PPMT(Inputs!$B$5/100/12,A14,Inputs!$B$6*12,(Inputs!$B$2*(1-Inputs!$B$3)))</f>
        <v/>
      </c>
      <c r="D14">
        <f>IPMT(Inputs!$B$5/100/12,A14,Inputs!$B$6*12,(Inputs!$B$2*(1-Inputs!$B$3)))</f>
        <v/>
      </c>
      <c r="E14">
        <f>E13+C14</f>
        <v/>
      </c>
    </row>
    <row r="15">
      <c r="A15" t="n">
        <v>14</v>
      </c>
      <c r="B15">
        <f>-PMT(Inputs!$B$5/100/12,Inputs!$B$6*12,(Inputs!$B$2*(1-Inputs!$B$3)))</f>
        <v/>
      </c>
      <c r="C15">
        <f>PPMT(Inputs!$B$5/100/12,A15,Inputs!$B$6*12,(Inputs!$B$2*(1-Inputs!$B$3)))</f>
        <v/>
      </c>
      <c r="D15">
        <f>IPMT(Inputs!$B$5/100/12,A15,Inputs!$B$6*12,(Inputs!$B$2*(1-Inputs!$B$3)))</f>
        <v/>
      </c>
      <c r="E15">
        <f>E14+C15</f>
        <v/>
      </c>
    </row>
    <row r="16">
      <c r="A16" t="n">
        <v>15</v>
      </c>
      <c r="B16">
        <f>-PMT(Inputs!$B$5/100/12,Inputs!$B$6*12,(Inputs!$B$2*(1-Inputs!$B$3)))</f>
        <v/>
      </c>
      <c r="C16">
        <f>PPMT(Inputs!$B$5/100/12,A16,Inputs!$B$6*12,(Inputs!$B$2*(1-Inputs!$B$3)))</f>
        <v/>
      </c>
      <c r="D16">
        <f>IPMT(Inputs!$B$5/100/12,A16,Inputs!$B$6*12,(Inputs!$B$2*(1-Inputs!$B$3)))</f>
        <v/>
      </c>
      <c r="E16">
        <f>E15+C16</f>
        <v/>
      </c>
    </row>
    <row r="17">
      <c r="A17" t="n">
        <v>16</v>
      </c>
      <c r="B17">
        <f>-PMT(Inputs!$B$5/100/12,Inputs!$B$6*12,(Inputs!$B$2*(1-Inputs!$B$3)))</f>
        <v/>
      </c>
      <c r="C17">
        <f>PPMT(Inputs!$B$5/100/12,A17,Inputs!$B$6*12,(Inputs!$B$2*(1-Inputs!$B$3)))</f>
        <v/>
      </c>
      <c r="D17">
        <f>IPMT(Inputs!$B$5/100/12,A17,Inputs!$B$6*12,(Inputs!$B$2*(1-Inputs!$B$3)))</f>
        <v/>
      </c>
      <c r="E17">
        <f>E16+C17</f>
        <v/>
      </c>
    </row>
    <row r="18">
      <c r="A18" t="n">
        <v>17</v>
      </c>
      <c r="B18">
        <f>-PMT(Inputs!$B$5/100/12,Inputs!$B$6*12,(Inputs!$B$2*(1-Inputs!$B$3)))</f>
        <v/>
      </c>
      <c r="C18">
        <f>PPMT(Inputs!$B$5/100/12,A18,Inputs!$B$6*12,(Inputs!$B$2*(1-Inputs!$B$3)))</f>
        <v/>
      </c>
      <c r="D18">
        <f>IPMT(Inputs!$B$5/100/12,A18,Inputs!$B$6*12,(Inputs!$B$2*(1-Inputs!$B$3)))</f>
        <v/>
      </c>
      <c r="E18">
        <f>E17+C18</f>
        <v/>
      </c>
    </row>
    <row r="19">
      <c r="A19" t="n">
        <v>18</v>
      </c>
      <c r="B19">
        <f>-PMT(Inputs!$B$5/100/12,Inputs!$B$6*12,(Inputs!$B$2*(1-Inputs!$B$3)))</f>
        <v/>
      </c>
      <c r="C19">
        <f>PPMT(Inputs!$B$5/100/12,A19,Inputs!$B$6*12,(Inputs!$B$2*(1-Inputs!$B$3)))</f>
        <v/>
      </c>
      <c r="D19">
        <f>IPMT(Inputs!$B$5/100/12,A19,Inputs!$B$6*12,(Inputs!$B$2*(1-Inputs!$B$3)))</f>
        <v/>
      </c>
      <c r="E19">
        <f>E18+C19</f>
        <v/>
      </c>
    </row>
    <row r="20">
      <c r="A20" t="n">
        <v>19</v>
      </c>
      <c r="B20">
        <f>-PMT(Inputs!$B$5/100/12,Inputs!$B$6*12,(Inputs!$B$2*(1-Inputs!$B$3)))</f>
        <v/>
      </c>
      <c r="C20">
        <f>PPMT(Inputs!$B$5/100/12,A20,Inputs!$B$6*12,(Inputs!$B$2*(1-Inputs!$B$3)))</f>
        <v/>
      </c>
      <c r="D20">
        <f>IPMT(Inputs!$B$5/100/12,A20,Inputs!$B$6*12,(Inputs!$B$2*(1-Inputs!$B$3)))</f>
        <v/>
      </c>
      <c r="E20">
        <f>E19+C20</f>
        <v/>
      </c>
    </row>
    <row r="21">
      <c r="A21" t="n">
        <v>20</v>
      </c>
      <c r="B21">
        <f>-PMT(Inputs!$B$5/100/12,Inputs!$B$6*12,(Inputs!$B$2*(1-Inputs!$B$3)))</f>
        <v/>
      </c>
      <c r="C21">
        <f>PPMT(Inputs!$B$5/100/12,A21,Inputs!$B$6*12,(Inputs!$B$2*(1-Inputs!$B$3)))</f>
        <v/>
      </c>
      <c r="D21">
        <f>IPMT(Inputs!$B$5/100/12,A21,Inputs!$B$6*12,(Inputs!$B$2*(1-Inputs!$B$3)))</f>
        <v/>
      </c>
      <c r="E21">
        <f>E20+C21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Year</t>
        </is>
      </c>
      <c r="B1" s="1" t="inlineStr">
        <is>
          <t>Gross Rent</t>
        </is>
      </c>
      <c r="C1" s="1" t="inlineStr">
        <is>
          <t>Vacancy</t>
        </is>
      </c>
      <c r="D1" s="1" t="inlineStr">
        <is>
          <t>Effective Rent</t>
        </is>
      </c>
      <c r="E1" s="1" t="inlineStr">
        <is>
          <t>OpEx</t>
        </is>
      </c>
      <c r="F1" s="1" t="inlineStr">
        <is>
          <t>NOI</t>
        </is>
      </c>
      <c r="G1" s="1" t="inlineStr">
        <is>
          <t>Debt Service</t>
        </is>
      </c>
      <c r="H1" s="1" t="inlineStr">
        <is>
          <t>Levered CF</t>
        </is>
      </c>
      <c r="I1" s="1" t="inlineStr">
        <is>
          <t>Sale Proceeds</t>
        </is>
      </c>
      <c r="J1" s="1" t="inlineStr">
        <is>
          <t>Total CF</t>
        </is>
      </c>
      <c r="K1" s="1" t="inlineStr">
        <is>
          <t>Cumulative CF</t>
        </is>
      </c>
    </row>
    <row r="2">
      <c r="A2" t="n">
        <v>0</v>
      </c>
      <c r="B2" t="inlineStr">
        <is>
          <t>Initial</t>
        </is>
      </c>
      <c r="H2">
        <f>-(=Inputs!$B$2*Inputs!$B$3+Inputs!$B$2*Inputs!$B$4)</f>
        <v/>
      </c>
      <c r="I2" t="n">
        <v>0</v>
      </c>
      <c r="J2">
        <f>H2+I2</f>
        <v/>
      </c>
      <c r="K2">
        <f>J2</f>
        <v/>
      </c>
    </row>
    <row r="3">
      <c r="A3" t="n">
        <v>1</v>
      </c>
      <c r="B3">
        <f>12*Inputs!$B$7*POWER(1+Inputs!$B$8,A3-1)</f>
        <v/>
      </c>
      <c r="C3">
        <f>-B3*Inputs!$B$9</f>
        <v/>
      </c>
      <c r="D3">
        <f>B3+C3</f>
        <v/>
      </c>
      <c r="E3">
        <f>-B3*Inputs!$B$10</f>
        <v/>
      </c>
      <c r="F3">
        <f>D3+E3</f>
        <v/>
      </c>
      <c r="G3">
        <f>-12*Loan!$B$2</f>
        <v/>
      </c>
      <c r="H3">
        <f>F3+G3</f>
        <v/>
      </c>
      <c r="I3">
        <f>IF(A3=Inputs!$B$11,Inputs!$B$2*POWER(1+Inputs!$B$12,Inputs!$B$11)-FV(Inputs!$B$5/100/12,Inputs!$B$11*12,PMT(Inputs!$B$5/100/12,Inputs!$B$6*12,-Inputs!$B$2*(1-Inputs!$B$3)),-Inputs!$B$2*(1-Inputs!$B$3)),0)</f>
        <v/>
      </c>
      <c r="J3">
        <f>H3+I3</f>
        <v/>
      </c>
      <c r="K3">
        <f>K2+J3</f>
        <v/>
      </c>
    </row>
    <row r="4">
      <c r="A4" t="n">
        <v>2</v>
      </c>
      <c r="B4">
        <f>12*Inputs!$B$7*POWER(1+Inputs!$B$8,A4-1)</f>
        <v/>
      </c>
      <c r="C4">
        <f>-B4*Inputs!$B$9</f>
        <v/>
      </c>
      <c r="D4">
        <f>B4+C4</f>
        <v/>
      </c>
      <c r="E4">
        <f>-B4*Inputs!$B$10</f>
        <v/>
      </c>
      <c r="F4">
        <f>D4+E4</f>
        <v/>
      </c>
      <c r="G4">
        <f>-12*Loan!$B$2</f>
        <v/>
      </c>
      <c r="H4">
        <f>F4+G4</f>
        <v/>
      </c>
      <c r="I4">
        <f>IF(A4=Inputs!$B$11,Inputs!$B$2*POWER(1+Inputs!$B$12,Inputs!$B$11)-FV(Inputs!$B$5/100/12,Inputs!$B$11*12,PMT(Inputs!$B$5/100/12,Inputs!$B$6*12,-Inputs!$B$2*(1-Inputs!$B$3)),-Inputs!$B$2*(1-Inputs!$B$3)),0)</f>
        <v/>
      </c>
      <c r="J4">
        <f>H4+I4</f>
        <v/>
      </c>
      <c r="K4">
        <f>K3+J4</f>
        <v/>
      </c>
    </row>
    <row r="5">
      <c r="A5" t="n">
        <v>3</v>
      </c>
      <c r="B5">
        <f>12*Inputs!$B$7*POWER(1+Inputs!$B$8,A5-1)</f>
        <v/>
      </c>
      <c r="C5">
        <f>-B5*Inputs!$B$9</f>
        <v/>
      </c>
      <c r="D5">
        <f>B5+C5</f>
        <v/>
      </c>
      <c r="E5">
        <f>-B5*Inputs!$B$10</f>
        <v/>
      </c>
      <c r="F5">
        <f>D5+E5</f>
        <v/>
      </c>
      <c r="G5">
        <f>-12*Loan!$B$2</f>
        <v/>
      </c>
      <c r="H5">
        <f>F5+G5</f>
        <v/>
      </c>
      <c r="I5">
        <f>IF(A5=Inputs!$B$11,Inputs!$B$2*POWER(1+Inputs!$B$12,Inputs!$B$11)-FV(Inputs!$B$5/100/12,Inputs!$B$11*12,PMT(Inputs!$B$5/100/12,Inputs!$B$6*12,-Inputs!$B$2*(1-Inputs!$B$3)),-Inputs!$B$2*(1-Inputs!$B$3)),0)</f>
        <v/>
      </c>
      <c r="J5">
        <f>H5+I5</f>
        <v/>
      </c>
      <c r="K5">
        <f>K4+J5</f>
        <v/>
      </c>
    </row>
    <row r="6">
      <c r="A6" t="n">
        <v>4</v>
      </c>
      <c r="B6">
        <f>12*Inputs!$B$7*POWER(1+Inputs!$B$8,A6-1)</f>
        <v/>
      </c>
      <c r="C6">
        <f>-B6*Inputs!$B$9</f>
        <v/>
      </c>
      <c r="D6">
        <f>B6+C6</f>
        <v/>
      </c>
      <c r="E6">
        <f>-B6*Inputs!$B$10</f>
        <v/>
      </c>
      <c r="F6">
        <f>D6+E6</f>
        <v/>
      </c>
      <c r="G6">
        <f>-12*Loan!$B$2</f>
        <v/>
      </c>
      <c r="H6">
        <f>F6+G6</f>
        <v/>
      </c>
      <c r="I6">
        <f>IF(A6=Inputs!$B$11,Inputs!$B$2*POWER(1+Inputs!$B$12,Inputs!$B$11)-FV(Inputs!$B$5/100/12,Inputs!$B$11*12,PMT(Inputs!$B$5/100/12,Inputs!$B$6*12,-Inputs!$B$2*(1-Inputs!$B$3)),-Inputs!$B$2*(1-Inputs!$B$3)),0)</f>
        <v/>
      </c>
      <c r="J6">
        <f>H6+I6</f>
        <v/>
      </c>
      <c r="K6">
        <f>K5+J6</f>
        <v/>
      </c>
    </row>
    <row r="7">
      <c r="A7" t="n">
        <v>5</v>
      </c>
      <c r="B7">
        <f>12*Inputs!$B$7*POWER(1+Inputs!$B$8,A7-1)</f>
        <v/>
      </c>
      <c r="C7">
        <f>-B7*Inputs!$B$9</f>
        <v/>
      </c>
      <c r="D7">
        <f>B7+C7</f>
        <v/>
      </c>
      <c r="E7">
        <f>-B7*Inputs!$B$10</f>
        <v/>
      </c>
      <c r="F7">
        <f>D7+E7</f>
        <v/>
      </c>
      <c r="G7">
        <f>-12*Loan!$B$2</f>
        <v/>
      </c>
      <c r="H7">
        <f>F7+G7</f>
        <v/>
      </c>
      <c r="I7">
        <f>IF(A7=Inputs!$B$11,Inputs!$B$2*POWER(1+Inputs!$B$12,Inputs!$B$11)-FV(Inputs!$B$5/100/12,Inputs!$B$11*12,PMT(Inputs!$B$5/100/12,Inputs!$B$6*12,-Inputs!$B$2*(1-Inputs!$B$3)),-Inputs!$B$2*(1-Inputs!$B$3)),0)</f>
        <v/>
      </c>
      <c r="J7">
        <f>H7+I7</f>
        <v/>
      </c>
      <c r="K7">
        <f>K6+J7</f>
        <v/>
      </c>
    </row>
    <row r="8">
      <c r="A8" t="n">
        <v>6</v>
      </c>
      <c r="B8">
        <f>12*Inputs!$B$7*POWER(1+Inputs!$B$8,A8-1)</f>
        <v/>
      </c>
      <c r="C8">
        <f>-B8*Inputs!$B$9</f>
        <v/>
      </c>
      <c r="D8">
        <f>B8+C8</f>
        <v/>
      </c>
      <c r="E8">
        <f>-B8*Inputs!$B$10</f>
        <v/>
      </c>
      <c r="F8">
        <f>D8+E8</f>
        <v/>
      </c>
      <c r="G8">
        <f>-12*Loan!$B$2</f>
        <v/>
      </c>
      <c r="H8">
        <f>F8+G8</f>
        <v/>
      </c>
      <c r="I8">
        <f>IF(A8=Inputs!$B$11,Inputs!$B$2*POWER(1+Inputs!$B$12,Inputs!$B$11)-FV(Inputs!$B$5/100/12,Inputs!$B$11*12,PMT(Inputs!$B$5/100/12,Inputs!$B$6*12,-Inputs!$B$2*(1-Inputs!$B$3)),-Inputs!$B$2*(1-Inputs!$B$3)),0)</f>
        <v/>
      </c>
      <c r="J8">
        <f>H8+I8</f>
        <v/>
      </c>
      <c r="K8">
        <f>K7+J8</f>
        <v/>
      </c>
    </row>
    <row r="9">
      <c r="A9" t="n">
        <v>7</v>
      </c>
      <c r="B9">
        <f>12*Inputs!$B$7*POWER(1+Inputs!$B$8,A9-1)</f>
        <v/>
      </c>
      <c r="C9">
        <f>-B9*Inputs!$B$9</f>
        <v/>
      </c>
      <c r="D9">
        <f>B9+C9</f>
        <v/>
      </c>
      <c r="E9">
        <f>-B9*Inputs!$B$10</f>
        <v/>
      </c>
      <c r="F9">
        <f>D9+E9</f>
        <v/>
      </c>
      <c r="G9">
        <f>-12*Loan!$B$2</f>
        <v/>
      </c>
      <c r="H9">
        <f>F9+G9</f>
        <v/>
      </c>
      <c r="I9">
        <f>IF(A9=Inputs!$B$11,Inputs!$B$2*POWER(1+Inputs!$B$12,Inputs!$B$11)-FV(Inputs!$B$5/100/12,Inputs!$B$11*12,PMT(Inputs!$B$5/100/12,Inputs!$B$6*12,-Inputs!$B$2*(1-Inputs!$B$3)),-Inputs!$B$2*(1-Inputs!$B$3)),0)</f>
        <v/>
      </c>
      <c r="J9">
        <f>H9+I9</f>
        <v/>
      </c>
      <c r="K9">
        <f>K8+J9</f>
        <v/>
      </c>
    </row>
    <row r="10">
      <c r="A10" t="n">
        <v>8</v>
      </c>
      <c r="B10">
        <f>12*Inputs!$B$7*POWER(1+Inputs!$B$8,A10-1)</f>
        <v/>
      </c>
      <c r="C10">
        <f>-B10*Inputs!$B$9</f>
        <v/>
      </c>
      <c r="D10">
        <f>B10+C10</f>
        <v/>
      </c>
      <c r="E10">
        <f>-B10*Inputs!$B$10</f>
        <v/>
      </c>
      <c r="F10">
        <f>D10+E10</f>
        <v/>
      </c>
      <c r="G10">
        <f>-12*Loan!$B$2</f>
        <v/>
      </c>
      <c r="H10">
        <f>F10+G10</f>
        <v/>
      </c>
      <c r="I10">
        <f>IF(A10=Inputs!$B$11,Inputs!$B$2*POWER(1+Inputs!$B$12,Inputs!$B$11)-FV(Inputs!$B$5/100/12,Inputs!$B$11*12,PMT(Inputs!$B$5/100/12,Inputs!$B$6*12,-Inputs!$B$2*(1-Inputs!$B$3)),-Inputs!$B$2*(1-Inputs!$B$3)),0)</f>
        <v/>
      </c>
      <c r="J10">
        <f>H10+I10</f>
        <v/>
      </c>
      <c r="K10">
        <f>K9+J10</f>
        <v/>
      </c>
    </row>
    <row r="11">
      <c r="A11" t="n">
        <v>9</v>
      </c>
      <c r="B11">
        <f>12*Inputs!$B$7*POWER(1+Inputs!$B$8,A11-1)</f>
        <v/>
      </c>
      <c r="C11">
        <f>-B11*Inputs!$B$9</f>
        <v/>
      </c>
      <c r="D11">
        <f>B11+C11</f>
        <v/>
      </c>
      <c r="E11">
        <f>-B11*Inputs!$B$10</f>
        <v/>
      </c>
      <c r="F11">
        <f>D11+E11</f>
        <v/>
      </c>
      <c r="G11">
        <f>-12*Loan!$B$2</f>
        <v/>
      </c>
      <c r="H11">
        <f>F11+G11</f>
        <v/>
      </c>
      <c r="I11">
        <f>IF(A11=Inputs!$B$11,Inputs!$B$2*POWER(1+Inputs!$B$12,Inputs!$B$11)-FV(Inputs!$B$5/100/12,Inputs!$B$11*12,PMT(Inputs!$B$5/100/12,Inputs!$B$6*12,-Inputs!$B$2*(1-Inputs!$B$3)),-Inputs!$B$2*(1-Inputs!$B$3)),0)</f>
        <v/>
      </c>
      <c r="J11">
        <f>H11+I11</f>
        <v/>
      </c>
      <c r="K11">
        <f>K10+J11</f>
        <v/>
      </c>
    </row>
    <row r="12">
      <c r="A12" t="n">
        <v>10</v>
      </c>
      <c r="B12">
        <f>12*Inputs!$B$7*POWER(1+Inputs!$B$8,A12-1)</f>
        <v/>
      </c>
      <c r="C12">
        <f>-B12*Inputs!$B$9</f>
        <v/>
      </c>
      <c r="D12">
        <f>B12+C12</f>
        <v/>
      </c>
      <c r="E12">
        <f>-B12*Inputs!$B$10</f>
        <v/>
      </c>
      <c r="F12">
        <f>D12+E12</f>
        <v/>
      </c>
      <c r="G12">
        <f>-12*Loan!$B$2</f>
        <v/>
      </c>
      <c r="H12">
        <f>F12+G12</f>
        <v/>
      </c>
      <c r="I12">
        <f>IF(A12=Inputs!$B$11,Inputs!$B$2*POWER(1+Inputs!$B$12,Inputs!$B$11)-FV(Inputs!$B$5/100/12,Inputs!$B$11*12,PMT(Inputs!$B$5/100/12,Inputs!$B$6*12,-Inputs!$B$2*(1-Inputs!$B$3)),-Inputs!$B$2*(1-Inputs!$B$3)),0)</f>
        <v/>
      </c>
      <c r="J12">
        <f>H12+I12</f>
        <v/>
      </c>
      <c r="K12">
        <f>K11+J12</f>
        <v/>
      </c>
    </row>
    <row r="13">
      <c r="A13" t="n">
        <v>11</v>
      </c>
      <c r="B13">
        <f>12*Inputs!$B$7*POWER(1+Inputs!$B$8,A13-1)</f>
        <v/>
      </c>
      <c r="C13">
        <f>-B13*Inputs!$B$9</f>
        <v/>
      </c>
      <c r="D13">
        <f>B13+C13</f>
        <v/>
      </c>
      <c r="E13">
        <f>-B13*Inputs!$B$10</f>
        <v/>
      </c>
      <c r="F13">
        <f>D13+E13</f>
        <v/>
      </c>
      <c r="G13">
        <f>-12*Loan!$B$2</f>
        <v/>
      </c>
      <c r="H13">
        <f>F13+G13</f>
        <v/>
      </c>
      <c r="I13">
        <f>IF(A13=Inputs!$B$11,Inputs!$B$2*POWER(1+Inputs!$B$12,Inputs!$B$11)-FV(Inputs!$B$5/100/12,Inputs!$B$11*12,PMT(Inputs!$B$5/100/12,Inputs!$B$6*12,-Inputs!$B$2*(1-Inputs!$B$3)),-Inputs!$B$2*(1-Inputs!$B$3)),0)</f>
        <v/>
      </c>
      <c r="J13">
        <f>H13+I13</f>
        <v/>
      </c>
      <c r="K13">
        <f>K12+J13</f>
        <v/>
      </c>
    </row>
    <row r="14">
      <c r="A14" t="n">
        <v>12</v>
      </c>
      <c r="B14">
        <f>12*Inputs!$B$7*POWER(1+Inputs!$B$8,A14-1)</f>
        <v/>
      </c>
      <c r="C14">
        <f>-B14*Inputs!$B$9</f>
        <v/>
      </c>
      <c r="D14">
        <f>B14+C14</f>
        <v/>
      </c>
      <c r="E14">
        <f>-B14*Inputs!$B$10</f>
        <v/>
      </c>
      <c r="F14">
        <f>D14+E14</f>
        <v/>
      </c>
      <c r="G14">
        <f>-12*Loan!$B$2</f>
        <v/>
      </c>
      <c r="H14">
        <f>F14+G14</f>
        <v/>
      </c>
      <c r="I14">
        <f>IF(A14=Inputs!$B$11,Inputs!$B$2*POWER(1+Inputs!$B$12,Inputs!$B$11)-FV(Inputs!$B$5/100/12,Inputs!$B$11*12,PMT(Inputs!$B$5/100/12,Inputs!$B$6*12,-Inputs!$B$2*(1-Inputs!$B$3)),-Inputs!$B$2*(1-Inputs!$B$3)),0)</f>
        <v/>
      </c>
      <c r="J14">
        <f>H14+I14</f>
        <v/>
      </c>
      <c r="K14">
        <f>K13+J14</f>
        <v/>
      </c>
    </row>
    <row r="15">
      <c r="A15" t="n">
        <v>13</v>
      </c>
      <c r="B15">
        <f>12*Inputs!$B$7*POWER(1+Inputs!$B$8,A15-1)</f>
        <v/>
      </c>
      <c r="C15">
        <f>-B15*Inputs!$B$9</f>
        <v/>
      </c>
      <c r="D15">
        <f>B15+C15</f>
        <v/>
      </c>
      <c r="E15">
        <f>-B15*Inputs!$B$10</f>
        <v/>
      </c>
      <c r="F15">
        <f>D15+E15</f>
        <v/>
      </c>
      <c r="G15">
        <f>-12*Loan!$B$2</f>
        <v/>
      </c>
      <c r="H15">
        <f>F15+G15</f>
        <v/>
      </c>
      <c r="I15">
        <f>IF(A15=Inputs!$B$11,Inputs!$B$2*POWER(1+Inputs!$B$12,Inputs!$B$11)-FV(Inputs!$B$5/100/12,Inputs!$B$11*12,PMT(Inputs!$B$5/100/12,Inputs!$B$6*12,-Inputs!$B$2*(1-Inputs!$B$3)),-Inputs!$B$2*(1-Inputs!$B$3)),0)</f>
        <v/>
      </c>
      <c r="J15">
        <f>H15+I15</f>
        <v/>
      </c>
      <c r="K15">
        <f>K14+J15</f>
        <v/>
      </c>
    </row>
    <row r="16">
      <c r="A16" t="n">
        <v>14</v>
      </c>
      <c r="B16">
        <f>12*Inputs!$B$7*POWER(1+Inputs!$B$8,A16-1)</f>
        <v/>
      </c>
      <c r="C16">
        <f>-B16*Inputs!$B$9</f>
        <v/>
      </c>
      <c r="D16">
        <f>B16+C16</f>
        <v/>
      </c>
      <c r="E16">
        <f>-B16*Inputs!$B$10</f>
        <v/>
      </c>
      <c r="F16">
        <f>D16+E16</f>
        <v/>
      </c>
      <c r="G16">
        <f>-12*Loan!$B$2</f>
        <v/>
      </c>
      <c r="H16">
        <f>F16+G16</f>
        <v/>
      </c>
      <c r="I16">
        <f>IF(A16=Inputs!$B$11,Inputs!$B$2*POWER(1+Inputs!$B$12,Inputs!$B$11)-FV(Inputs!$B$5/100/12,Inputs!$B$11*12,PMT(Inputs!$B$5/100/12,Inputs!$B$6*12,-Inputs!$B$2*(1-Inputs!$B$3)),-Inputs!$B$2*(1-Inputs!$B$3)),0)</f>
        <v/>
      </c>
      <c r="J16">
        <f>H16+I16</f>
        <v/>
      </c>
      <c r="K16">
        <f>K15+J16</f>
        <v/>
      </c>
    </row>
    <row r="17">
      <c r="A17" t="n">
        <v>15</v>
      </c>
      <c r="B17">
        <f>12*Inputs!$B$7*POWER(1+Inputs!$B$8,A17-1)</f>
        <v/>
      </c>
      <c r="C17">
        <f>-B17*Inputs!$B$9</f>
        <v/>
      </c>
      <c r="D17">
        <f>B17+C17</f>
        <v/>
      </c>
      <c r="E17">
        <f>-B17*Inputs!$B$10</f>
        <v/>
      </c>
      <c r="F17">
        <f>D17+E17</f>
        <v/>
      </c>
      <c r="G17">
        <f>-12*Loan!$B$2</f>
        <v/>
      </c>
      <c r="H17">
        <f>F17+G17</f>
        <v/>
      </c>
      <c r="I17">
        <f>IF(A17=Inputs!$B$11,Inputs!$B$2*POWER(1+Inputs!$B$12,Inputs!$B$11)-FV(Inputs!$B$5/100/12,Inputs!$B$11*12,PMT(Inputs!$B$5/100/12,Inputs!$B$6*12,-Inputs!$B$2*(1-Inputs!$B$3)),-Inputs!$B$2*(1-Inputs!$B$3)),0)</f>
        <v/>
      </c>
      <c r="J17">
        <f>H17+I17</f>
        <v/>
      </c>
      <c r="K17">
        <f>K16+J17</f>
        <v/>
      </c>
    </row>
    <row r="18">
      <c r="A18" t="n">
        <v>16</v>
      </c>
      <c r="B18">
        <f>12*Inputs!$B$7*POWER(1+Inputs!$B$8,A18-1)</f>
        <v/>
      </c>
      <c r="C18">
        <f>-B18*Inputs!$B$9</f>
        <v/>
      </c>
      <c r="D18">
        <f>B18+C18</f>
        <v/>
      </c>
      <c r="E18">
        <f>-B18*Inputs!$B$10</f>
        <v/>
      </c>
      <c r="F18">
        <f>D18+E18</f>
        <v/>
      </c>
      <c r="G18">
        <f>-12*Loan!$B$2</f>
        <v/>
      </c>
      <c r="H18">
        <f>F18+G18</f>
        <v/>
      </c>
      <c r="I18">
        <f>IF(A18=Inputs!$B$11,Inputs!$B$2*POWER(1+Inputs!$B$12,Inputs!$B$11)-FV(Inputs!$B$5/100/12,Inputs!$B$11*12,PMT(Inputs!$B$5/100/12,Inputs!$B$6*12,-Inputs!$B$2*(1-Inputs!$B$3)),-Inputs!$B$2*(1-Inputs!$B$3)),0)</f>
        <v/>
      </c>
      <c r="J18">
        <f>H18+I18</f>
        <v/>
      </c>
      <c r="K18">
        <f>K17+J18</f>
        <v/>
      </c>
    </row>
    <row r="19">
      <c r="A19" t="n">
        <v>17</v>
      </c>
      <c r="B19">
        <f>12*Inputs!$B$7*POWER(1+Inputs!$B$8,A19-1)</f>
        <v/>
      </c>
      <c r="C19">
        <f>-B19*Inputs!$B$9</f>
        <v/>
      </c>
      <c r="D19">
        <f>B19+C19</f>
        <v/>
      </c>
      <c r="E19">
        <f>-B19*Inputs!$B$10</f>
        <v/>
      </c>
      <c r="F19">
        <f>D19+E19</f>
        <v/>
      </c>
      <c r="G19">
        <f>-12*Loan!$B$2</f>
        <v/>
      </c>
      <c r="H19">
        <f>F19+G19</f>
        <v/>
      </c>
      <c r="I19">
        <f>IF(A19=Inputs!$B$11,Inputs!$B$2*POWER(1+Inputs!$B$12,Inputs!$B$11)-FV(Inputs!$B$5/100/12,Inputs!$B$11*12,PMT(Inputs!$B$5/100/12,Inputs!$B$6*12,-Inputs!$B$2*(1-Inputs!$B$3)),-Inputs!$B$2*(1-Inputs!$B$3)),0)</f>
        <v/>
      </c>
      <c r="J19">
        <f>H19+I19</f>
        <v/>
      </c>
      <c r="K19">
        <f>K18+J19</f>
        <v/>
      </c>
    </row>
    <row r="20">
      <c r="A20" t="n">
        <v>18</v>
      </c>
      <c r="B20">
        <f>12*Inputs!$B$7*POWER(1+Inputs!$B$8,A20-1)</f>
        <v/>
      </c>
      <c r="C20">
        <f>-B20*Inputs!$B$9</f>
        <v/>
      </c>
      <c r="D20">
        <f>B20+C20</f>
        <v/>
      </c>
      <c r="E20">
        <f>-B20*Inputs!$B$10</f>
        <v/>
      </c>
      <c r="F20">
        <f>D20+E20</f>
        <v/>
      </c>
      <c r="G20">
        <f>-12*Loan!$B$2</f>
        <v/>
      </c>
      <c r="H20">
        <f>F20+G20</f>
        <v/>
      </c>
      <c r="I20">
        <f>IF(A20=Inputs!$B$11,Inputs!$B$2*POWER(1+Inputs!$B$12,Inputs!$B$11)-FV(Inputs!$B$5/100/12,Inputs!$B$11*12,PMT(Inputs!$B$5/100/12,Inputs!$B$6*12,-Inputs!$B$2*(1-Inputs!$B$3)),-Inputs!$B$2*(1-Inputs!$B$3)),0)</f>
        <v/>
      </c>
      <c r="J20">
        <f>H20+I20</f>
        <v/>
      </c>
      <c r="K20">
        <f>K19+J20</f>
        <v/>
      </c>
    </row>
    <row r="21">
      <c r="A21" t="n">
        <v>19</v>
      </c>
      <c r="B21">
        <f>12*Inputs!$B$7*POWER(1+Inputs!$B$8,A21-1)</f>
        <v/>
      </c>
      <c r="C21">
        <f>-B21*Inputs!$B$9</f>
        <v/>
      </c>
      <c r="D21">
        <f>B21+C21</f>
        <v/>
      </c>
      <c r="E21">
        <f>-B21*Inputs!$B$10</f>
        <v/>
      </c>
      <c r="F21">
        <f>D21+E21</f>
        <v/>
      </c>
      <c r="G21">
        <f>-12*Loan!$B$2</f>
        <v/>
      </c>
      <c r="H21">
        <f>F21+G21</f>
        <v/>
      </c>
      <c r="I21">
        <f>IF(A21=Inputs!$B$11,Inputs!$B$2*POWER(1+Inputs!$B$12,Inputs!$B$11)-FV(Inputs!$B$5/100/12,Inputs!$B$11*12,PMT(Inputs!$B$5/100/12,Inputs!$B$6*12,-Inputs!$B$2*(1-Inputs!$B$3)),-Inputs!$B$2*(1-Inputs!$B$3)),0)</f>
        <v/>
      </c>
      <c r="J21">
        <f>H21+I21</f>
        <v/>
      </c>
      <c r="K21">
        <f>K20+J21</f>
        <v/>
      </c>
    </row>
    <row r="22">
      <c r="A22" t="n">
        <v>20</v>
      </c>
      <c r="B22">
        <f>12*Inputs!$B$7*POWER(1+Inputs!$B$8,A22-1)</f>
        <v/>
      </c>
      <c r="C22">
        <f>-B22*Inputs!$B$9</f>
        <v/>
      </c>
      <c r="D22">
        <f>B22+C22</f>
        <v/>
      </c>
      <c r="E22">
        <f>-B22*Inputs!$B$10</f>
        <v/>
      </c>
      <c r="F22">
        <f>D22+E22</f>
        <v/>
      </c>
      <c r="G22">
        <f>-12*Loan!$B$2</f>
        <v/>
      </c>
      <c r="H22">
        <f>F22+G22</f>
        <v/>
      </c>
      <c r="I22">
        <f>IF(A22=Inputs!$B$11,Inputs!$B$2*POWER(1+Inputs!$B$12,Inputs!$B$11)-FV(Inputs!$B$5/100/12,Inputs!$B$11*12,PMT(Inputs!$B$5/100/12,Inputs!$B$6*12,-Inputs!$B$2*(1-Inputs!$B$3)),-Inputs!$B$2*(1-Inputs!$B$3)),0)</f>
        <v/>
      </c>
      <c r="J22">
        <f>H22+I22</f>
        <v/>
      </c>
      <c r="K22">
        <f>K21+J22</f>
        <v/>
      </c>
    </row>
    <row r="23">
      <c r="A23" t="n">
        <v>21</v>
      </c>
      <c r="B23">
        <f>12*Inputs!$B$7*POWER(1+Inputs!$B$8,A23-1)</f>
        <v/>
      </c>
      <c r="C23">
        <f>-B23*Inputs!$B$9</f>
        <v/>
      </c>
      <c r="D23">
        <f>B23+C23</f>
        <v/>
      </c>
      <c r="E23">
        <f>-B23*Inputs!$B$10</f>
        <v/>
      </c>
      <c r="F23">
        <f>D23+E23</f>
        <v/>
      </c>
      <c r="G23">
        <f>-12*Loan!$B$2</f>
        <v/>
      </c>
      <c r="H23">
        <f>F23+G23</f>
        <v/>
      </c>
      <c r="I23">
        <f>IF(A23=Inputs!$B$11,Inputs!$B$2*POWER(1+Inputs!$B$12,Inputs!$B$11)-FV(Inputs!$B$5/100/12,Inputs!$B$11*12,PMT(Inputs!$B$5/100/12,Inputs!$B$6*12,-Inputs!$B$2*(1-Inputs!$B$3)),-Inputs!$B$2*(1-Inputs!$B$3)),0)</f>
        <v/>
      </c>
      <c r="J23">
        <f>H23+I23</f>
        <v/>
      </c>
      <c r="K23">
        <f>K22+J23</f>
        <v/>
      </c>
    </row>
    <row r="24">
      <c r="A24" t="n">
        <v>22</v>
      </c>
      <c r="B24">
        <f>12*Inputs!$B$7*POWER(1+Inputs!$B$8,A24-1)</f>
        <v/>
      </c>
      <c r="C24">
        <f>-B24*Inputs!$B$9</f>
        <v/>
      </c>
      <c r="D24">
        <f>B24+C24</f>
        <v/>
      </c>
      <c r="E24">
        <f>-B24*Inputs!$B$10</f>
        <v/>
      </c>
      <c r="F24">
        <f>D24+E24</f>
        <v/>
      </c>
      <c r="G24">
        <f>-12*Loan!$B$2</f>
        <v/>
      </c>
      <c r="H24">
        <f>F24+G24</f>
        <v/>
      </c>
      <c r="I24">
        <f>IF(A24=Inputs!$B$11,Inputs!$B$2*POWER(1+Inputs!$B$12,Inputs!$B$11)-FV(Inputs!$B$5/100/12,Inputs!$B$11*12,PMT(Inputs!$B$5/100/12,Inputs!$B$6*12,-Inputs!$B$2*(1-Inputs!$B$3)),-Inputs!$B$2*(1-Inputs!$B$3)),0)</f>
        <v/>
      </c>
      <c r="J24">
        <f>H24+I24</f>
        <v/>
      </c>
      <c r="K24">
        <f>K23+J24</f>
        <v/>
      </c>
    </row>
    <row r="25">
      <c r="A25" t="n">
        <v>23</v>
      </c>
      <c r="B25">
        <f>12*Inputs!$B$7*POWER(1+Inputs!$B$8,A25-1)</f>
        <v/>
      </c>
      <c r="C25">
        <f>-B25*Inputs!$B$9</f>
        <v/>
      </c>
      <c r="D25">
        <f>B25+C25</f>
        <v/>
      </c>
      <c r="E25">
        <f>-B25*Inputs!$B$10</f>
        <v/>
      </c>
      <c r="F25">
        <f>D25+E25</f>
        <v/>
      </c>
      <c r="G25">
        <f>-12*Loan!$B$2</f>
        <v/>
      </c>
      <c r="H25">
        <f>F25+G25</f>
        <v/>
      </c>
      <c r="I25">
        <f>IF(A25=Inputs!$B$11,Inputs!$B$2*POWER(1+Inputs!$B$12,Inputs!$B$11)-FV(Inputs!$B$5/100/12,Inputs!$B$11*12,PMT(Inputs!$B$5/100/12,Inputs!$B$6*12,-Inputs!$B$2*(1-Inputs!$B$3)),-Inputs!$B$2*(1-Inputs!$B$3)),0)</f>
        <v/>
      </c>
      <c r="J25">
        <f>H25+I25</f>
        <v/>
      </c>
      <c r="K25">
        <f>K24+J25</f>
        <v/>
      </c>
    </row>
    <row r="26">
      <c r="A26" t="n">
        <v>24</v>
      </c>
      <c r="B26">
        <f>12*Inputs!$B$7*POWER(1+Inputs!$B$8,A26-1)</f>
        <v/>
      </c>
      <c r="C26">
        <f>-B26*Inputs!$B$9</f>
        <v/>
      </c>
      <c r="D26">
        <f>B26+C26</f>
        <v/>
      </c>
      <c r="E26">
        <f>-B26*Inputs!$B$10</f>
        <v/>
      </c>
      <c r="F26">
        <f>D26+E26</f>
        <v/>
      </c>
      <c r="G26">
        <f>-12*Loan!$B$2</f>
        <v/>
      </c>
      <c r="H26">
        <f>F26+G26</f>
        <v/>
      </c>
      <c r="I26">
        <f>IF(A26=Inputs!$B$11,Inputs!$B$2*POWER(1+Inputs!$B$12,Inputs!$B$11)-FV(Inputs!$B$5/100/12,Inputs!$B$11*12,PMT(Inputs!$B$5/100/12,Inputs!$B$6*12,-Inputs!$B$2*(1-Inputs!$B$3)),-Inputs!$B$2*(1-Inputs!$B$3)),0)</f>
        <v/>
      </c>
      <c r="J26">
        <f>H26+I26</f>
        <v/>
      </c>
      <c r="K26">
        <f>K25+J26</f>
        <v/>
      </c>
    </row>
    <row r="27">
      <c r="A27" t="n">
        <v>25</v>
      </c>
      <c r="B27">
        <f>12*Inputs!$B$7*POWER(1+Inputs!$B$8,A27-1)</f>
        <v/>
      </c>
      <c r="C27">
        <f>-B27*Inputs!$B$9</f>
        <v/>
      </c>
      <c r="D27">
        <f>B27+C27</f>
        <v/>
      </c>
      <c r="E27">
        <f>-B27*Inputs!$B$10</f>
        <v/>
      </c>
      <c r="F27">
        <f>D27+E27</f>
        <v/>
      </c>
      <c r="G27">
        <f>-12*Loan!$B$2</f>
        <v/>
      </c>
      <c r="H27">
        <f>F27+G27</f>
        <v/>
      </c>
      <c r="I27">
        <f>IF(A27=Inputs!$B$11,Inputs!$B$2*POWER(1+Inputs!$B$12,Inputs!$B$11)-FV(Inputs!$B$5/100/12,Inputs!$B$11*12,PMT(Inputs!$B$5/100/12,Inputs!$B$6*12,-Inputs!$B$2*(1-Inputs!$B$3)),-Inputs!$B$2*(1-Inputs!$B$3)),0)</f>
        <v/>
      </c>
      <c r="J27">
        <f>H27+I27</f>
        <v/>
      </c>
      <c r="K27">
        <f>K26+J27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t="inlineStr">
        <is>
          <t>Exit (end of holding period)</t>
        </is>
      </c>
    </row>
    <row r="2">
      <c r="A2" s="1" t="inlineStr">
        <is>
          <t>Item</t>
        </is>
      </c>
      <c r="B2" s="1" t="inlineStr">
        <is>
          <t>Value</t>
        </is>
      </c>
    </row>
    <row r="3">
      <c r="A3" t="inlineStr">
        <is>
          <t>Sale price</t>
        </is>
      </c>
      <c r="B3" s="2">
        <f>Inputs!$B$2*POWER(1+Inputs!$B$12,Inputs!$B$11)</f>
        <v/>
      </c>
    </row>
    <row r="4">
      <c r="A4" t="inlineStr">
        <is>
          <t>Loan balance at exit</t>
        </is>
      </c>
      <c r="B4" s="2">
        <f>FV(Inputs!$B$5/100/12,Inputs!$B$6*12-Inputs!$B$11*12,PMT(Inputs!$B$5/100/12,Inputs!$B$6*12,-Inputs!$B$2*(1-Inputs!$B$3)),-Inputs!$B$2*(1-Inputs!$B$3))</f>
        <v/>
      </c>
    </row>
    <row r="5">
      <c r="A5" t="inlineStr">
        <is>
          <t>Net sale proceeds</t>
        </is>
      </c>
      <c r="B5" s="2">
        <f>B3-B4</f>
        <v/>
      </c>
    </row>
    <row r="6">
      <c r="B6" s="2" t="n"/>
    </row>
    <row r="7">
      <c r="A7" t="inlineStr">
        <is>
          <t>Equity invested (down + closing)</t>
        </is>
      </c>
      <c r="B7" s="2">
        <f>=Inputs!$B$2*Inputs!$B$3+Inputs!$B$2*Inputs!$B$4</f>
        <v/>
      </c>
    </row>
    <row r="8">
      <c r="A8" t="inlineStr">
        <is>
          <t>Total distributions (rental CF + sale)</t>
        </is>
      </c>
      <c r="B8" s="2">
        <f>SUM(OFFSET('Cash Flow'!J2,1,0,Inputs!$B$11,1))</f>
        <v/>
      </c>
    </row>
    <row r="9">
      <c r="A9" t="inlineStr">
        <is>
          <t>Net sale proceeds (at exit)</t>
        </is>
      </c>
      <c r="B9" s="2">
        <f>B5</f>
        <v/>
      </c>
    </row>
    <row r="10">
      <c r="A10" t="inlineStr">
        <is>
          <t>Total distributions (same as B8)</t>
        </is>
      </c>
      <c r="B10" s="2">
        <f>B8</f>
        <v/>
      </c>
    </row>
    <row r="11">
      <c r="A11" t="inlineStr">
        <is>
          <t>MOIC (Multiple on Invested Capital)</t>
        </is>
      </c>
      <c r="B11" s="2">
        <f>B10/B7</f>
        <v/>
      </c>
    </row>
    <row r="12">
      <c r="A12" t="inlineStr">
        <is>
          <t>ROI %</t>
        </is>
      </c>
      <c r="B12" s="2">
        <f>(B10-B7)/B7*100</f>
        <v/>
      </c>
    </row>
    <row r="13">
      <c r="A13" t="inlineStr">
        <is>
          <t>IRR % (levered, annual)</t>
        </is>
      </c>
      <c r="B13" s="2">
        <f>IRR(OFFSET('Cash Flow'!J2,0,0,Inputs!$B$11+1,1))*100</f>
        <v/>
      </c>
    </row>
    <row r="14">
      <c r="A14" t="inlineStr">
        <is>
          <t>Breakeven year (first year cumulative CF &gt;= 0)</t>
        </is>
      </c>
      <c r="B14" s="2">
        <f>INDEX('Cash Flow'!A2:A25,MATCH(0,'Cash Flow'!K2:K25,1)+1)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2026-02-07T02:45:54Z</dcterms:created>
  <dcterms:modified xsi:type="dcterms:W3CDTF">2026-02-07T02:45:54Z</dcterms:modified>
</cp:coreProperties>
</file>